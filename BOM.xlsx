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ilbo\Documents\Fallout\Journaling and stuff\"/>
    </mc:Choice>
  </mc:AlternateContent>
  <xr:revisionPtr revIDLastSave="0" documentId="13_ncr:1_{196B751B-3A68-4E8A-BCB9-458EE20C5090}" xr6:coauthVersionLast="47" xr6:coauthVersionMax="47" xr10:uidLastSave="{00000000-0000-0000-0000-000000000000}"/>
  <bookViews>
    <workbookView xWindow="-105" yWindow="0" windowWidth="19410" windowHeight="20985" xr2:uid="{6CC1A559-10BB-413B-A4C8-3607E08EAD19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" i="1" l="1"/>
  <c r="C31" i="1"/>
  <c r="C33" i="1"/>
  <c r="F17" i="1"/>
  <c r="E17" i="1"/>
  <c r="C34" i="1"/>
  <c r="F16" i="1"/>
  <c r="E7" i="1"/>
  <c r="F7" i="1" s="1"/>
  <c r="E6" i="1"/>
  <c r="F6" i="1"/>
  <c r="F27" i="1"/>
  <c r="E27" i="1"/>
  <c r="E14" i="1"/>
  <c r="F14" i="1" s="1"/>
  <c r="E12" i="1"/>
  <c r="F12" i="1" s="1"/>
  <c r="E11" i="1"/>
  <c r="F11" i="1" s="1"/>
  <c r="E8" i="1"/>
  <c r="F8" i="1" s="1"/>
  <c r="E5" i="1"/>
  <c r="E3" i="1"/>
  <c r="F3" i="1" s="1"/>
  <c r="F4" i="1"/>
  <c r="F9" i="1"/>
  <c r="F10" i="1"/>
  <c r="F13" i="1"/>
  <c r="F15" i="1"/>
  <c r="F21" i="1"/>
  <c r="F23" i="1"/>
  <c r="F22" i="1"/>
  <c r="F24" i="1"/>
  <c r="F2" i="1"/>
  <c r="F5" i="1" l="1"/>
  <c r="D5" i="1"/>
</calcChain>
</file>

<file path=xl/sharedStrings.xml><?xml version="1.0" encoding="utf-8"?>
<sst xmlns="http://schemas.openxmlformats.org/spreadsheetml/2006/main" count="87" uniqueCount="82">
  <si>
    <t>Link</t>
  </si>
  <si>
    <t>18x14mm fan</t>
  </si>
  <si>
    <t>1N5819 Diode</t>
  </si>
  <si>
    <t>Item</t>
  </si>
  <si>
    <t>Quantity</t>
  </si>
  <si>
    <t>Unit Price (€)</t>
  </si>
  <si>
    <t>Total Price (€)</t>
  </si>
  <si>
    <t>100x2mm acrylic tube</t>
  </si>
  <si>
    <t>M2xL2xOD3,2 insert</t>
  </si>
  <si>
    <t>M2xL4xOD3,2 insert</t>
  </si>
  <si>
    <t>M3xL5xOD4,2 insert</t>
  </si>
  <si>
    <t>Battery BETAFPV LAVA II 1S 480mah</t>
  </si>
  <si>
    <t xml:space="preserve">Reed switch NC </t>
  </si>
  <si>
    <t>Seeed Studio Xiao nRF52840 Sense</t>
  </si>
  <si>
    <t>BT 2.0 male cable</t>
  </si>
  <si>
    <t>SK6812MINI LED</t>
  </si>
  <si>
    <t>https://fr.aliexpress.com/item/1005004931260882.html</t>
  </si>
  <si>
    <t>https://fr.aliexpress.com/item/1005009623841974.html</t>
  </si>
  <si>
    <t>https://fr.aliexpress.com/item/1005006988944671.html</t>
  </si>
  <si>
    <t>https://fr.aliexpress.com/item/1005010775720329.html</t>
  </si>
  <si>
    <t>https://fr.aliexpress.com/item/1005006926125113.html</t>
  </si>
  <si>
    <t>https://fr.aliexpress.com/item/1005006472702418.html</t>
  </si>
  <si>
    <t>https://fr.aliexpress.com/item/1005005536829247.html</t>
  </si>
  <si>
    <t>https://fr.aliexpress.com/item/1005001552094086.html</t>
  </si>
  <si>
    <t>https://fr.aliexpress.com/item/1005010476941631.html</t>
  </si>
  <si>
    <t>GS Air Eleaf Clearomizer</t>
  </si>
  <si>
    <t>https://www.oliquide.com/Clearomiseurs-Eleaf-Eleaf-GS-Air.</t>
  </si>
  <si>
    <t>Transistor IRLZ44N</t>
  </si>
  <si>
    <t>https://fr.aliexpress.com/item/1005009876208141.html</t>
  </si>
  <si>
    <t>6mm diameter PVC Tube</t>
  </si>
  <si>
    <t>https://fr.aliexpress.com/item/1005006173546510.html</t>
  </si>
  <si>
    <t>Hyper CF PLA Filament</t>
  </si>
  <si>
    <t>https://store.creality.com/fr/products/hyper-pla-cf-carbone-fibre-1-75mm-filament-dimpression-3d-1kg</t>
  </si>
  <si>
    <t>Mettalic Paint</t>
  </si>
  <si>
    <t>Fake Leather</t>
  </si>
  <si>
    <t>Red Metallic Paint</t>
  </si>
  <si>
    <t>PCB</t>
  </si>
  <si>
    <t>Shipping Price</t>
  </si>
  <si>
    <t>~10-15€</t>
  </si>
  <si>
    <t>Buying Price (€)</t>
  </si>
  <si>
    <t>M2 Screws</t>
  </si>
  <si>
    <t>Specs</t>
  </si>
  <si>
    <t>https://fr.aliexpress.com/item/1005007278965396.html</t>
  </si>
  <si>
    <t>https://fr.aliexpress.com/item/1005008381916334.html</t>
  </si>
  <si>
    <t>Tips</t>
  </si>
  <si>
    <t>0.2 cfm, blow the smoke as it is in a closed case</t>
  </si>
  <si>
    <t>Reverse polmarity protection for the fan</t>
  </si>
  <si>
    <t>Conduct the light into the blade</t>
  </si>
  <si>
    <t>Others diodes will work, check the specs and measurement</t>
  </si>
  <si>
    <t>It'll be cheaper to just buy a kit of different type of inserts</t>
  </si>
  <si>
    <t>to fix the pcb via the transistors holes</t>
  </si>
  <si>
    <t>to fix the blade the the handle</t>
  </si>
  <si>
    <t>to fix the 2 parts of the knife together</t>
  </si>
  <si>
    <t>LiHv with 95C rating to ensure enough current</t>
  </si>
  <si>
    <t>Others battery could work just be sure the C rating is higgh enough (hard to chekc on most Aliexpress battery where only fpv drones C rating are precised)</t>
  </si>
  <si>
    <t>Low voltage GPS-23 (act as a sensor to detect if it's in the stand)</t>
  </si>
  <si>
    <t>64 Mhz processor, IMU and microphone integrated</t>
  </si>
  <si>
    <t>to cleanly connect the battery to the pcb</t>
  </si>
  <si>
    <t xml:space="preserve">35 35 ARGB Led </t>
  </si>
  <si>
    <t>2.5 ml tank / 1,5 ohm resistance (included)</t>
  </si>
  <si>
    <t>47A max, Vgs=2V, to control both fan and heart resistance</t>
  </si>
  <si>
    <t>6mm exterior diameter 4mm interior diameter, to conduct the smoke to the blade</t>
  </si>
  <si>
    <t>Screws different lengths kit</t>
  </si>
  <si>
    <t>Might have to cut them, make sure to put a bolt before to not break the filtrage</t>
  </si>
  <si>
    <t>Could be overkill I took them coz I already had them</t>
  </si>
  <si>
    <t>You should modify the pcb and take SK6812MINI-E (the E is important) It's a lot more easier to solder, I already have those so i will use them (in pain)</t>
  </si>
  <si>
    <t>It's just what I will be using coz i have it in stock, but anything can do the job ABS will be better for heat resistance</t>
  </si>
  <si>
    <t>1.6mm two layers</t>
  </si>
  <si>
    <t>Got him from jlcpcb but use whats cheaper in your region (jlcpcb is a great choice tho)</t>
  </si>
  <si>
    <t>Bought from local store</t>
  </si>
  <si>
    <t>Shiny paint weeee</t>
  </si>
  <si>
    <t>Auto-adhesive layer</t>
  </si>
  <si>
    <t>Magnet</t>
  </si>
  <si>
    <r>
      <t xml:space="preserve">200/1K </t>
    </r>
    <r>
      <rPr>
        <sz val="11"/>
        <color theme="1"/>
        <rFont val="Calibri"/>
        <family val="2"/>
      </rPr>
      <t>Ω</t>
    </r>
    <r>
      <rPr>
        <sz val="9.35"/>
        <color theme="1"/>
        <rFont val="Calibri"/>
        <family val="2"/>
      </rPr>
      <t xml:space="preserve"> resistors</t>
    </r>
  </si>
  <si>
    <t>for transistor signal and pull-down</t>
  </si>
  <si>
    <t>2 each</t>
  </si>
  <si>
    <t>For printing the handles, blades, stand and adaptaters</t>
  </si>
  <si>
    <t>Take any kit of resistors on Aliexpress it'll be useful in the future</t>
  </si>
  <si>
    <t>Total Price ($)</t>
  </si>
  <si>
    <t>Total Buying Price (Because you'll buying multiples at once) €</t>
  </si>
  <si>
    <t>Total Buying Price (Because you'll buying multiples at once) $</t>
  </si>
  <si>
    <t>https://fr.aliexpress.com/item/1005011969218794.html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</si>
</sst>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9.35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r.aliexpress.com/item/1005010775720329.html" TargetMode="External"/><Relationship Id="rId13" Type="http://schemas.openxmlformats.org/officeDocument/2006/relationships/hyperlink" Target="https://fr.aliexpress.com/item/1005009876208141.html" TargetMode="External"/><Relationship Id="rId18" Type="http://schemas.openxmlformats.org/officeDocument/2006/relationships/hyperlink" Target="https://fr.aliexpress.com/item/1005011969218794.html" TargetMode="External"/><Relationship Id="rId3" Type="http://schemas.openxmlformats.org/officeDocument/2006/relationships/hyperlink" Target="https://fr.aliexpress.com/item/1005005536829247.html" TargetMode="External"/><Relationship Id="rId7" Type="http://schemas.openxmlformats.org/officeDocument/2006/relationships/hyperlink" Target="https://fr.aliexpress.com/item/1005006926125113.html" TargetMode="External"/><Relationship Id="rId12" Type="http://schemas.openxmlformats.org/officeDocument/2006/relationships/hyperlink" Target="https://www.oliquide.com/Clearomiseurs-Eleaf-Eleaf-GS-Air." TargetMode="External"/><Relationship Id="rId17" Type="http://schemas.openxmlformats.org/officeDocument/2006/relationships/hyperlink" Target="https://fr.aliexpress.com/item/1005008381916334.html" TargetMode="External"/><Relationship Id="rId2" Type="http://schemas.openxmlformats.org/officeDocument/2006/relationships/hyperlink" Target="https://fr.aliexpress.com/item/1005001552094086.html" TargetMode="External"/><Relationship Id="rId16" Type="http://schemas.openxmlformats.org/officeDocument/2006/relationships/hyperlink" Target="https://fr.aliexpress.com/item/1005007278965396.html" TargetMode="External"/><Relationship Id="rId1" Type="http://schemas.openxmlformats.org/officeDocument/2006/relationships/hyperlink" Target="https://fr.aliexpress.com/item/1005010476941631.html" TargetMode="External"/><Relationship Id="rId6" Type="http://schemas.openxmlformats.org/officeDocument/2006/relationships/hyperlink" Target="https://fr.aliexpress.com/item/1005006472702418.html" TargetMode="External"/><Relationship Id="rId11" Type="http://schemas.openxmlformats.org/officeDocument/2006/relationships/hyperlink" Target="https://fr.aliexpress.com/item/1005004931260882.html" TargetMode="External"/><Relationship Id="rId5" Type="http://schemas.openxmlformats.org/officeDocument/2006/relationships/hyperlink" Target="https://fr.aliexpress.com/item/1005006472702418.html" TargetMode="External"/><Relationship Id="rId15" Type="http://schemas.openxmlformats.org/officeDocument/2006/relationships/hyperlink" Target="https://store.creality.com/fr/products/hyper-pla-cf-carbone-fibre-1-75mm-filament-dimpression-3d-1kg" TargetMode="External"/><Relationship Id="rId10" Type="http://schemas.openxmlformats.org/officeDocument/2006/relationships/hyperlink" Target="https://fr.aliexpress.com/item/1005009623841974.html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fr.aliexpress.com/item/1005006472702418.html" TargetMode="External"/><Relationship Id="rId9" Type="http://schemas.openxmlformats.org/officeDocument/2006/relationships/hyperlink" Target="https://fr.aliexpress.com/item/1005006988944671.html" TargetMode="External"/><Relationship Id="rId14" Type="http://schemas.openxmlformats.org/officeDocument/2006/relationships/hyperlink" Target="https://fr.aliexpress.com/item/100500617354651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B59E7-B67B-4A9A-AC6A-FF004C52946A}">
  <sheetPr codeName="Feuil1"/>
  <dimension ref="A1:H34"/>
  <sheetViews>
    <sheetView tabSelected="1" zoomScale="85" zoomScaleNormal="85" workbookViewId="0">
      <selection activeCell="B38" sqref="B38"/>
    </sheetView>
  </sheetViews>
  <sheetFormatPr baseColWidth="10" defaultRowHeight="15" x14ac:dyDescent="0.25"/>
  <cols>
    <col min="1" max="1" width="32.85546875" customWidth="1"/>
    <col min="2" max="2" width="80.85546875" customWidth="1"/>
    <col min="3" max="3" width="17.28515625" customWidth="1"/>
    <col min="4" max="4" width="13.7109375" customWidth="1"/>
    <col min="5" max="5" width="13.140625" customWidth="1"/>
    <col min="6" max="6" width="14.28515625" customWidth="1"/>
    <col min="7" max="7" width="80.5703125" customWidth="1"/>
    <col min="8" max="8" width="148.140625" customWidth="1"/>
  </cols>
  <sheetData>
    <row r="1" spans="1:8" x14ac:dyDescent="0.25">
      <c r="A1" t="s">
        <v>3</v>
      </c>
      <c r="B1" t="s">
        <v>41</v>
      </c>
      <c r="C1" t="s">
        <v>4</v>
      </c>
      <c r="D1" t="s">
        <v>39</v>
      </c>
      <c r="E1" t="s">
        <v>5</v>
      </c>
      <c r="F1" t="s">
        <v>6</v>
      </c>
      <c r="G1" t="s">
        <v>0</v>
      </c>
      <c r="H1" t="s">
        <v>44</v>
      </c>
    </row>
    <row r="2" spans="1:8" x14ac:dyDescent="0.25">
      <c r="A2" t="s">
        <v>1</v>
      </c>
      <c r="B2" t="s">
        <v>45</v>
      </c>
      <c r="C2">
        <v>1</v>
      </c>
      <c r="D2">
        <v>4.29</v>
      </c>
      <c r="E2">
        <v>4.29</v>
      </c>
      <c r="F2">
        <f t="shared" ref="F2:F17" si="0">E2*C2</f>
        <v>4.29</v>
      </c>
      <c r="G2" s="1" t="s">
        <v>24</v>
      </c>
    </row>
    <row r="3" spans="1:8" x14ac:dyDescent="0.25">
      <c r="A3" t="s">
        <v>2</v>
      </c>
      <c r="B3" t="s">
        <v>46</v>
      </c>
      <c r="C3">
        <v>1</v>
      </c>
      <c r="D3">
        <v>1.33</v>
      </c>
      <c r="E3">
        <f>1.24/50</f>
        <v>2.4799999999999999E-2</v>
      </c>
      <c r="F3">
        <f t="shared" si="0"/>
        <v>2.4799999999999999E-2</v>
      </c>
      <c r="G3" s="1" t="s">
        <v>23</v>
      </c>
      <c r="H3" t="s">
        <v>48</v>
      </c>
    </row>
    <row r="4" spans="1:8" x14ac:dyDescent="0.25">
      <c r="A4" t="s">
        <v>7</v>
      </c>
      <c r="B4" t="s">
        <v>47</v>
      </c>
      <c r="C4">
        <v>1</v>
      </c>
      <c r="D4">
        <v>1.8</v>
      </c>
      <c r="E4">
        <v>0.17100000000000001</v>
      </c>
      <c r="F4">
        <f t="shared" si="0"/>
        <v>0.17100000000000001</v>
      </c>
      <c r="G4" s="1" t="s">
        <v>22</v>
      </c>
      <c r="H4" t="s">
        <v>49</v>
      </c>
    </row>
    <row r="5" spans="1:8" x14ac:dyDescent="0.25">
      <c r="A5" t="s">
        <v>8</v>
      </c>
      <c r="B5" t="s">
        <v>51</v>
      </c>
      <c r="C5">
        <v>5</v>
      </c>
      <c r="D5">
        <f>E5*100</f>
        <v>1.9</v>
      </c>
      <c r="E5">
        <f>1.9/100</f>
        <v>1.9E-2</v>
      </c>
      <c r="F5">
        <f t="shared" si="0"/>
        <v>9.5000000000000001E-2</v>
      </c>
      <c r="G5" s="1" t="s">
        <v>21</v>
      </c>
    </row>
    <row r="6" spans="1:8" x14ac:dyDescent="0.25">
      <c r="A6" t="s">
        <v>9</v>
      </c>
      <c r="B6" t="s">
        <v>52</v>
      </c>
      <c r="C6">
        <v>6</v>
      </c>
      <c r="D6">
        <v>2.25</v>
      </c>
      <c r="E6">
        <f>2.25/100</f>
        <v>2.2499999999999999E-2</v>
      </c>
      <c r="F6">
        <f t="shared" si="0"/>
        <v>0.13500000000000001</v>
      </c>
      <c r="G6" s="1" t="s">
        <v>21</v>
      </c>
    </row>
    <row r="7" spans="1:8" x14ac:dyDescent="0.25">
      <c r="A7" t="s">
        <v>10</v>
      </c>
      <c r="B7" t="s">
        <v>50</v>
      </c>
      <c r="C7">
        <v>3</v>
      </c>
      <c r="D7">
        <v>1.82</v>
      </c>
      <c r="E7">
        <f>1.82/50</f>
        <v>3.6400000000000002E-2</v>
      </c>
      <c r="F7">
        <f t="shared" si="0"/>
        <v>0.10920000000000001</v>
      </c>
      <c r="G7" s="1" t="s">
        <v>21</v>
      </c>
    </row>
    <row r="8" spans="1:8" x14ac:dyDescent="0.25">
      <c r="A8" t="s">
        <v>11</v>
      </c>
      <c r="B8" t="s">
        <v>53</v>
      </c>
      <c r="C8">
        <v>1</v>
      </c>
      <c r="D8">
        <v>15.29</v>
      </c>
      <c r="E8">
        <f>14.19/4</f>
        <v>3.5474999999999999</v>
      </c>
      <c r="F8">
        <f t="shared" si="0"/>
        <v>3.5474999999999999</v>
      </c>
      <c r="G8" s="1" t="s">
        <v>19</v>
      </c>
      <c r="H8" t="s">
        <v>54</v>
      </c>
    </row>
    <row r="9" spans="1:8" x14ac:dyDescent="0.25">
      <c r="A9" t="s">
        <v>12</v>
      </c>
      <c r="B9" t="s">
        <v>55</v>
      </c>
      <c r="C9">
        <v>1</v>
      </c>
      <c r="D9">
        <v>5.79</v>
      </c>
      <c r="E9">
        <v>5.79</v>
      </c>
      <c r="F9">
        <f t="shared" si="0"/>
        <v>5.79</v>
      </c>
      <c r="G9" s="1" t="s">
        <v>20</v>
      </c>
    </row>
    <row r="10" spans="1:8" x14ac:dyDescent="0.25">
      <c r="A10" t="s">
        <v>13</v>
      </c>
      <c r="B10" t="s">
        <v>56</v>
      </c>
      <c r="C10">
        <v>1</v>
      </c>
      <c r="D10">
        <v>18.190000000000001</v>
      </c>
      <c r="E10">
        <v>18.190000000000001</v>
      </c>
      <c r="F10">
        <f t="shared" si="0"/>
        <v>18.190000000000001</v>
      </c>
      <c r="G10" s="1" t="s">
        <v>18</v>
      </c>
    </row>
    <row r="11" spans="1:8" x14ac:dyDescent="0.25">
      <c r="A11" t="s">
        <v>14</v>
      </c>
      <c r="B11" t="s">
        <v>57</v>
      </c>
      <c r="C11">
        <v>1</v>
      </c>
      <c r="D11">
        <v>3.59</v>
      </c>
      <c r="E11">
        <f>3.89/2</f>
        <v>1.9450000000000001</v>
      </c>
      <c r="F11">
        <f t="shared" si="0"/>
        <v>1.9450000000000001</v>
      </c>
      <c r="G11" s="1" t="s">
        <v>17</v>
      </c>
    </row>
    <row r="12" spans="1:8" x14ac:dyDescent="0.25">
      <c r="A12" t="s">
        <v>15</v>
      </c>
      <c r="B12" t="s">
        <v>58</v>
      </c>
      <c r="C12">
        <v>1</v>
      </c>
      <c r="D12">
        <v>10.89</v>
      </c>
      <c r="E12">
        <f>10.89/100</f>
        <v>0.10890000000000001</v>
      </c>
      <c r="F12">
        <f t="shared" si="0"/>
        <v>0.10890000000000001</v>
      </c>
      <c r="G12" s="1" t="s">
        <v>16</v>
      </c>
      <c r="H12" t="s">
        <v>65</v>
      </c>
    </row>
    <row r="13" spans="1:8" x14ac:dyDescent="0.25">
      <c r="A13" t="s">
        <v>25</v>
      </c>
      <c r="B13" t="s">
        <v>59</v>
      </c>
      <c r="C13">
        <v>1</v>
      </c>
      <c r="D13">
        <v>7.5</v>
      </c>
      <c r="E13">
        <v>7.5</v>
      </c>
      <c r="F13">
        <f t="shared" si="0"/>
        <v>7.5</v>
      </c>
      <c r="G13" s="1" t="s">
        <v>26</v>
      </c>
    </row>
    <row r="14" spans="1:8" x14ac:dyDescent="0.25">
      <c r="A14" t="s">
        <v>27</v>
      </c>
      <c r="B14" t="s">
        <v>60</v>
      </c>
      <c r="C14">
        <v>2</v>
      </c>
      <c r="D14">
        <v>2.06</v>
      </c>
      <c r="E14">
        <f>2.06/10</f>
        <v>0.20600000000000002</v>
      </c>
      <c r="F14">
        <f t="shared" si="0"/>
        <v>0.41200000000000003</v>
      </c>
      <c r="G14" s="1" t="s">
        <v>28</v>
      </c>
      <c r="H14" t="s">
        <v>64</v>
      </c>
    </row>
    <row r="15" spans="1:8" x14ac:dyDescent="0.25">
      <c r="A15" t="s">
        <v>29</v>
      </c>
      <c r="B15" t="s">
        <v>61</v>
      </c>
      <c r="C15">
        <v>1</v>
      </c>
      <c r="D15">
        <v>2.09</v>
      </c>
      <c r="E15">
        <v>2.09</v>
      </c>
      <c r="F15">
        <f t="shared" si="0"/>
        <v>2.09</v>
      </c>
      <c r="G15" s="1" t="s">
        <v>30</v>
      </c>
    </row>
    <row r="16" spans="1:8" x14ac:dyDescent="0.25">
      <c r="A16" t="s">
        <v>40</v>
      </c>
      <c r="B16" t="s">
        <v>62</v>
      </c>
      <c r="C16">
        <v>1</v>
      </c>
      <c r="D16">
        <v>5.09</v>
      </c>
      <c r="E16">
        <v>5.09</v>
      </c>
      <c r="F16">
        <f t="shared" si="0"/>
        <v>5.09</v>
      </c>
      <c r="G16" s="1" t="s">
        <v>42</v>
      </c>
      <c r="H16" t="s">
        <v>63</v>
      </c>
    </row>
    <row r="17" spans="1:8" x14ac:dyDescent="0.25">
      <c r="A17" t="s">
        <v>72</v>
      </c>
      <c r="C17">
        <v>1</v>
      </c>
      <c r="D17">
        <v>3.59</v>
      </c>
      <c r="E17">
        <f>D17/50</f>
        <v>7.1800000000000003E-2</v>
      </c>
      <c r="F17">
        <f t="shared" si="0"/>
        <v>7.1800000000000003E-2</v>
      </c>
      <c r="G17" s="1" t="s">
        <v>81</v>
      </c>
    </row>
    <row r="18" spans="1:8" x14ac:dyDescent="0.25">
      <c r="A18" t="s">
        <v>73</v>
      </c>
      <c r="B18" t="s">
        <v>74</v>
      </c>
      <c r="C18" t="s">
        <v>75</v>
      </c>
      <c r="G18" t="s">
        <v>77</v>
      </c>
    </row>
    <row r="21" spans="1:8" x14ac:dyDescent="0.25">
      <c r="A21" t="s">
        <v>31</v>
      </c>
      <c r="B21" t="s">
        <v>76</v>
      </c>
      <c r="C21">
        <v>1</v>
      </c>
      <c r="D21">
        <v>34.99</v>
      </c>
      <c r="E21">
        <v>34.99</v>
      </c>
      <c r="F21">
        <f t="shared" ref="F21:F24" si="1">E21*C21</f>
        <v>34.99</v>
      </c>
      <c r="G21" s="1" t="s">
        <v>32</v>
      </c>
      <c r="H21" t="s">
        <v>66</v>
      </c>
    </row>
    <row r="22" spans="1:8" x14ac:dyDescent="0.25">
      <c r="A22" t="s">
        <v>34</v>
      </c>
      <c r="B22" t="s">
        <v>71</v>
      </c>
      <c r="C22">
        <v>1</v>
      </c>
      <c r="D22">
        <v>4.99</v>
      </c>
      <c r="E22">
        <v>4.99</v>
      </c>
      <c r="F22">
        <f>E22*C22</f>
        <v>4.99</v>
      </c>
      <c r="G22" s="1" t="s">
        <v>43</v>
      </c>
    </row>
    <row r="23" spans="1:8" x14ac:dyDescent="0.25">
      <c r="A23" t="s">
        <v>33</v>
      </c>
      <c r="B23" t="s">
        <v>70</v>
      </c>
      <c r="C23">
        <v>1</v>
      </c>
      <c r="D23">
        <v>5</v>
      </c>
      <c r="E23">
        <v>5</v>
      </c>
      <c r="F23">
        <f>E23*C23</f>
        <v>5</v>
      </c>
      <c r="G23" t="s">
        <v>69</v>
      </c>
    </row>
    <row r="24" spans="1:8" x14ac:dyDescent="0.25">
      <c r="A24" t="s">
        <v>35</v>
      </c>
      <c r="B24" t="s">
        <v>70</v>
      </c>
      <c r="C24">
        <v>1</v>
      </c>
      <c r="D24">
        <v>5</v>
      </c>
      <c r="E24">
        <v>5</v>
      </c>
      <c r="F24">
        <f t="shared" si="1"/>
        <v>5</v>
      </c>
      <c r="G24" t="s">
        <v>69</v>
      </c>
    </row>
    <row r="27" spans="1:8" x14ac:dyDescent="0.25">
      <c r="A27" t="s">
        <v>36</v>
      </c>
      <c r="B27" t="s">
        <v>67</v>
      </c>
      <c r="C27">
        <v>1</v>
      </c>
      <c r="D27">
        <v>3</v>
      </c>
      <c r="E27">
        <f>3/5</f>
        <v>0.6</v>
      </c>
      <c r="F27">
        <f>E27*C27</f>
        <v>0.6</v>
      </c>
      <c r="G27" t="s">
        <v>68</v>
      </c>
    </row>
    <row r="29" spans="1:8" x14ac:dyDescent="0.25">
      <c r="A29" t="s">
        <v>37</v>
      </c>
      <c r="C29" t="s">
        <v>38</v>
      </c>
    </row>
    <row r="31" spans="1:8" x14ac:dyDescent="0.25">
      <c r="A31" t="s">
        <v>6</v>
      </c>
      <c r="C31">
        <f>ROUND(F2+F3+F4+F5+F6+F7+F8+F9+F10+F11+F12+F13+F14+F15+F23+F21+F22+F24+F16+10+F17, 2)</f>
        <v>109.55</v>
      </c>
    </row>
    <row r="32" spans="1:8" x14ac:dyDescent="0.25">
      <c r="A32" t="s">
        <v>78</v>
      </c>
      <c r="C32">
        <f>ROUND(C31/0.85, 2)</f>
        <v>128.88</v>
      </c>
    </row>
    <row r="33" spans="1:3" x14ac:dyDescent="0.25">
      <c r="A33" t="s">
        <v>79</v>
      </c>
      <c r="C33">
        <f>D2+D3+D4+D5+D6+D7+D8+D9+D10+D11+D12+D13+D14+D15+D16+E21+D22+F23+E24+D27+10+D17</f>
        <v>150.45000000000002</v>
      </c>
    </row>
    <row r="34" spans="1:3" x14ac:dyDescent="0.25">
      <c r="A34" t="s">
        <v>80</v>
      </c>
      <c r="C34">
        <f>ROUND(C33/0.85, 2)</f>
        <v>177</v>
      </c>
    </row>
  </sheetData>
  <hyperlinks>
    <hyperlink ref="G2" r:id="rId1" xr:uid="{EE292A23-CAE9-483A-90D5-8A12A3087792}"/>
    <hyperlink ref="G3" r:id="rId2" xr:uid="{D7792EA3-D8B7-4E15-96BE-DAA44F944284}"/>
    <hyperlink ref="G4" r:id="rId3" xr:uid="{3C22B4FB-4742-4CD6-A3BD-8DECF2736262}"/>
    <hyperlink ref="G5" r:id="rId4" xr:uid="{A66BFC6E-68A2-4BFB-854E-4E0CEF70A092}"/>
    <hyperlink ref="G6" r:id="rId5" xr:uid="{2958F42E-FF74-4078-A92C-51600EA5B21A}"/>
    <hyperlink ref="G7" r:id="rId6" xr:uid="{968B5221-5E7F-4A39-85BC-AABEF8D2E3B7}"/>
    <hyperlink ref="G9" r:id="rId7" xr:uid="{02985423-439C-4DA9-917F-2A78673320EC}"/>
    <hyperlink ref="G8" r:id="rId8" xr:uid="{3724BAB2-3336-4C37-B8CD-E2D52462C72A}"/>
    <hyperlink ref="G10" r:id="rId9" xr:uid="{A59E7DBB-903F-410D-A0A8-F6ECD8794C32}"/>
    <hyperlink ref="G11" r:id="rId10" xr:uid="{087FC509-9390-48F0-9C8F-5B4E5F89B4F6}"/>
    <hyperlink ref="G12" r:id="rId11" xr:uid="{B3E9D484-D05B-425A-B9CC-B1F4554B1D4D}"/>
    <hyperlink ref="G13" r:id="rId12" xr:uid="{E58AB09A-5986-4F76-8F40-B955ED14214A}"/>
    <hyperlink ref="G14" r:id="rId13" xr:uid="{18A87B6B-BBC2-4725-9E65-8627FB45029B}"/>
    <hyperlink ref="G15" r:id="rId14" xr:uid="{F2069368-20E6-47F3-B152-92132A233F8D}"/>
    <hyperlink ref="G21" r:id="rId15" xr:uid="{07E9B282-11F3-4478-8CBA-1C4EB0A24BDE}"/>
    <hyperlink ref="G16" r:id="rId16" xr:uid="{A43FD6FD-3AD0-422C-9AA9-4070E519D2C9}"/>
    <hyperlink ref="G22" r:id="rId17" xr:uid="{A37D4AB0-DA2B-49D1-9060-D03EB0E97839}"/>
    <hyperlink ref="G17" r:id="rId18" xr:uid="{744B92BB-F7C7-4DF4-B16F-ECD451D62258}"/>
  </hyperlinks>
  <pageMargins left="0.7" right="0.7" top="0.75" bottom="0.75" header="0.3" footer="0.3"/>
  <pageSetup paperSize="9"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 Boccon-Gibod</dc:creator>
  <cp:lastModifiedBy>Nil Boccon-Gibod</cp:lastModifiedBy>
  <dcterms:created xsi:type="dcterms:W3CDTF">2026-04-30T23:43:15Z</dcterms:created>
  <dcterms:modified xsi:type="dcterms:W3CDTF">2026-05-17T23:29:24Z</dcterms:modified>
</cp:coreProperties>
</file>